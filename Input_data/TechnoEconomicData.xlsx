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utente\Desktop\Università Gabriele\Assegno_biennale\Models\Final_model\Input_data\"/>
    </mc:Choice>
  </mc:AlternateContent>
  <xr:revisionPtr revIDLastSave="0" documentId="13_ncr:1_{0A4031C7-044B-4943-817C-AAF86560357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onversion&amp;StorageSystems" sheetId="1" r:id="rId1"/>
    <sheet name="Carriers" sheetId="3" r:id="rId2"/>
    <sheet name="Parameter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</calcChain>
</file>

<file path=xl/sharedStrings.xml><?xml version="1.0" encoding="utf-8"?>
<sst xmlns="http://schemas.openxmlformats.org/spreadsheetml/2006/main" count="116" uniqueCount="53">
  <si>
    <t>Technology</t>
  </si>
  <si>
    <t>InvestmentCost</t>
  </si>
  <si>
    <t>Quantity</t>
  </si>
  <si>
    <t>Unit</t>
  </si>
  <si>
    <t>€/kWp</t>
  </si>
  <si>
    <t>Lifetime</t>
  </si>
  <si>
    <t>€/kWel</t>
  </si>
  <si>
    <t>y</t>
  </si>
  <si>
    <t>%Inv./y</t>
  </si>
  <si>
    <t>EfficiencyTh</t>
  </si>
  <si>
    <t>MinLoad</t>
  </si>
  <si>
    <t>%MaxLoad</t>
  </si>
  <si>
    <t>€/kWth</t>
  </si>
  <si>
    <t>€/kWh</t>
  </si>
  <si>
    <t>SelfDischarge</t>
  </si>
  <si>
    <t>.</t>
  </si>
  <si>
    <t>EmissionCO2</t>
  </si>
  <si>
    <t>NatGas</t>
  </si>
  <si>
    <t>Carrier</t>
  </si>
  <si>
    <t>PriceSell</t>
  </si>
  <si>
    <t>€/MWh</t>
  </si>
  <si>
    <t>kg/MWh</t>
  </si>
  <si>
    <t>m2/kWp</t>
  </si>
  <si>
    <t>O&amp;Mcost,fix</t>
  </si>
  <si>
    <t>O&amp;Mcost,var</t>
  </si>
  <si>
    <t>€/kWhel</t>
  </si>
  <si>
    <t>OutputCapacity</t>
  </si>
  <si>
    <t>InputCapacity</t>
  </si>
  <si>
    <t>kW/kWh</t>
  </si>
  <si>
    <t>CostHouseholds</t>
  </si>
  <si>
    <t>CostIndustry</t>
  </si>
  <si>
    <t>Parameter</t>
  </si>
  <si>
    <t>InterestRate</t>
  </si>
  <si>
    <t>Electricity</t>
  </si>
  <si>
    <t>SpaceRequirement</t>
  </si>
  <si>
    <t>RoundTripEfficiency</t>
  </si>
  <si>
    <t>Value</t>
  </si>
  <si>
    <t>PV</t>
  </si>
  <si>
    <t>HP</t>
  </si>
  <si>
    <t>TES</t>
  </si>
  <si>
    <t>EES</t>
  </si>
  <si>
    <t>BioGas</t>
  </si>
  <si>
    <t>Cost</t>
  </si>
  <si>
    <t>ICE</t>
  </si>
  <si>
    <t>BOIL</t>
  </si>
  <si>
    <t>%SOC/hour</t>
  </si>
  <si>
    <t>F(P)_var</t>
  </si>
  <si>
    <t>F(P)_fix</t>
  </si>
  <si>
    <t>Q(P)_var</t>
  </si>
  <si>
    <t>Q(P)_fix</t>
  </si>
  <si>
    <t>COPid*P(Q)_var</t>
  </si>
  <si>
    <t>COPid*P(Q)_fix</t>
  </si>
  <si>
    <t>REC_incentive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</si>
</sst>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0" xfId="0" applyFont="1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workbookViewId="0">
      <selection activeCell="D4" sqref="D4"/>
    </sheetView>
  </sheetViews>
  <sheetFormatPr defaultRowHeight="14.5" x14ac:dyDescent="0.35"/>
  <cols>
    <col min="1" max="1" width="15" style="1" bestFit="1" customWidth="1"/>
    <col min="2" max="2" width="17.453125" bestFit="1" customWidth="1"/>
    <col min="3" max="3" width="10.08984375" bestFit="1" customWidth="1"/>
    <col min="4" max="4" width="7" bestFit="1" customWidth="1"/>
    <col min="5" max="5" width="18.1796875" customWidth="1"/>
    <col min="6" max="6" width="18.6328125" bestFit="1" customWidth="1"/>
  </cols>
  <sheetData>
    <row r="1" spans="1:4" x14ac:dyDescent="0.35">
      <c r="A1" s="2" t="s">
        <v>0</v>
      </c>
      <c r="B1" s="4" t="s">
        <v>2</v>
      </c>
      <c r="C1" s="2" t="s">
        <v>3</v>
      </c>
      <c r="D1" s="2" t="s">
        <v>36</v>
      </c>
    </row>
    <row r="2" spans="1:4" x14ac:dyDescent="0.35">
      <c r="A2" s="6" t="s">
        <v>37</v>
      </c>
      <c r="B2" t="s">
        <v>1</v>
      </c>
      <c r="C2" t="s">
        <v>4</v>
      </c>
      <c r="D2">
        <v>1400</v>
      </c>
    </row>
    <row r="3" spans="1:4" x14ac:dyDescent="0.35">
      <c r="A3" s="6"/>
      <c r="B3" t="s">
        <v>23</v>
      </c>
      <c r="C3" t="s">
        <v>8</v>
      </c>
      <c r="D3">
        <v>1.5</v>
      </c>
    </row>
    <row r="4" spans="1:4" x14ac:dyDescent="0.35">
      <c r="A4" s="6"/>
      <c r="B4" t="s">
        <v>5</v>
      </c>
      <c r="C4" t="s">
        <v>7</v>
      </c>
      <c r="D4">
        <v>20</v>
      </c>
    </row>
    <row r="5" spans="1:4" x14ac:dyDescent="0.35">
      <c r="A5" s="6"/>
      <c r="B5" t="s">
        <v>34</v>
      </c>
      <c r="C5" t="s">
        <v>22</v>
      </c>
      <c r="D5">
        <v>5.12</v>
      </c>
    </row>
    <row r="6" spans="1:4" x14ac:dyDescent="0.35">
      <c r="A6" s="6" t="s">
        <v>43</v>
      </c>
      <c r="B6" t="s">
        <v>1</v>
      </c>
      <c r="C6" t="s">
        <v>6</v>
      </c>
      <c r="D6">
        <v>2400</v>
      </c>
    </row>
    <row r="7" spans="1:4" x14ac:dyDescent="0.35">
      <c r="A7" s="6"/>
      <c r="B7" t="s">
        <v>23</v>
      </c>
      <c r="C7" t="s">
        <v>8</v>
      </c>
      <c r="D7">
        <v>1</v>
      </c>
    </row>
    <row r="8" spans="1:4" x14ac:dyDescent="0.35">
      <c r="A8" s="6"/>
      <c r="B8" t="s">
        <v>24</v>
      </c>
      <c r="C8" t="s">
        <v>25</v>
      </c>
      <c r="D8">
        <f>5.4/1000</f>
        <v>5.4000000000000003E-3</v>
      </c>
    </row>
    <row r="9" spans="1:4" x14ac:dyDescent="0.35">
      <c r="A9" s="6"/>
      <c r="B9" t="s">
        <v>5</v>
      </c>
      <c r="C9" t="s">
        <v>7</v>
      </c>
      <c r="D9">
        <v>20</v>
      </c>
    </row>
    <row r="10" spans="1:4" x14ac:dyDescent="0.35">
      <c r="A10" s="6"/>
      <c r="B10" t="s">
        <v>10</v>
      </c>
      <c r="C10" t="s">
        <v>11</v>
      </c>
      <c r="D10">
        <v>70</v>
      </c>
    </row>
    <row r="11" spans="1:4" x14ac:dyDescent="0.35">
      <c r="A11" s="6"/>
      <c r="B11" t="s">
        <v>46</v>
      </c>
      <c r="C11" t="s">
        <v>15</v>
      </c>
      <c r="D11">
        <v>2.4265734265734267</v>
      </c>
    </row>
    <row r="12" spans="1:4" x14ac:dyDescent="0.35">
      <c r="A12" s="6"/>
      <c r="B12" t="s">
        <v>47</v>
      </c>
      <c r="C12" t="s">
        <v>15</v>
      </c>
      <c r="D12">
        <v>11.013986013986028</v>
      </c>
    </row>
    <row r="13" spans="1:4" x14ac:dyDescent="0.35">
      <c r="A13" s="6"/>
      <c r="B13" t="s">
        <v>48</v>
      </c>
      <c r="C13" t="s">
        <v>15</v>
      </c>
      <c r="D13">
        <v>1.236013986013986</v>
      </c>
    </row>
    <row r="14" spans="1:4" x14ac:dyDescent="0.35">
      <c r="A14" s="6"/>
      <c r="B14" t="s">
        <v>49</v>
      </c>
      <c r="C14" t="s">
        <v>15</v>
      </c>
      <c r="D14">
        <v>-1.6520979020978928</v>
      </c>
    </row>
    <row r="15" spans="1:4" x14ac:dyDescent="0.35">
      <c r="A15" s="6" t="s">
        <v>44</v>
      </c>
      <c r="B15" t="s">
        <v>1</v>
      </c>
      <c r="C15" t="s">
        <v>12</v>
      </c>
      <c r="D15">
        <v>300</v>
      </c>
    </row>
    <row r="16" spans="1:4" x14ac:dyDescent="0.35">
      <c r="A16" s="6"/>
      <c r="B16" t="s">
        <v>23</v>
      </c>
      <c r="C16" t="s">
        <v>8</v>
      </c>
      <c r="D16">
        <v>4.9000000000000004</v>
      </c>
    </row>
    <row r="17" spans="1:4" x14ac:dyDescent="0.35">
      <c r="A17" s="6"/>
      <c r="B17" t="s">
        <v>5</v>
      </c>
      <c r="C17" t="s">
        <v>7</v>
      </c>
      <c r="D17">
        <v>20</v>
      </c>
    </row>
    <row r="18" spans="1:4" x14ac:dyDescent="0.35">
      <c r="A18" s="6"/>
      <c r="B18" t="s">
        <v>9</v>
      </c>
      <c r="C18" t="s">
        <v>15</v>
      </c>
      <c r="D18">
        <v>0.97</v>
      </c>
    </row>
    <row r="19" spans="1:4" x14ac:dyDescent="0.35">
      <c r="A19" s="6" t="s">
        <v>38</v>
      </c>
      <c r="B19" t="s">
        <v>1</v>
      </c>
      <c r="C19" t="s">
        <v>12</v>
      </c>
      <c r="D19">
        <v>1500</v>
      </c>
    </row>
    <row r="20" spans="1:4" x14ac:dyDescent="0.35">
      <c r="A20" s="6"/>
      <c r="B20" t="s">
        <v>23</v>
      </c>
      <c r="C20" t="s">
        <v>8</v>
      </c>
      <c r="D20">
        <v>2.8</v>
      </c>
    </row>
    <row r="21" spans="1:4" x14ac:dyDescent="0.35">
      <c r="A21" s="6"/>
      <c r="B21" t="s">
        <v>5</v>
      </c>
      <c r="C21" t="s">
        <v>7</v>
      </c>
      <c r="D21">
        <v>20</v>
      </c>
    </row>
    <row r="22" spans="1:4" x14ac:dyDescent="0.35">
      <c r="A22" s="6"/>
      <c r="B22" t="s">
        <v>10</v>
      </c>
      <c r="C22" t="s">
        <v>11</v>
      </c>
      <c r="D22">
        <v>50</v>
      </c>
    </row>
    <row r="23" spans="1:4" x14ac:dyDescent="0.35">
      <c r="A23" s="6"/>
      <c r="B23" t="s">
        <v>50</v>
      </c>
      <c r="C23" t="s">
        <v>15</v>
      </c>
      <c r="D23">
        <v>1.7960762641613703</v>
      </c>
    </row>
    <row r="24" spans="1:4" x14ac:dyDescent="0.35">
      <c r="A24" s="6"/>
      <c r="B24" t="s">
        <v>51</v>
      </c>
      <c r="C24" t="s">
        <v>15</v>
      </c>
      <c r="D24">
        <v>2.6526664824537169</v>
      </c>
    </row>
    <row r="25" spans="1:4" x14ac:dyDescent="0.35">
      <c r="A25" s="6" t="s">
        <v>39</v>
      </c>
      <c r="B25" t="s">
        <v>1</v>
      </c>
      <c r="C25" t="s">
        <v>13</v>
      </c>
      <c r="D25">
        <v>400</v>
      </c>
    </row>
    <row r="26" spans="1:4" x14ac:dyDescent="0.35">
      <c r="A26" s="6"/>
      <c r="B26" t="s">
        <v>23</v>
      </c>
      <c r="C26" t="s">
        <v>8</v>
      </c>
      <c r="D26">
        <v>4</v>
      </c>
    </row>
    <row r="27" spans="1:4" x14ac:dyDescent="0.35">
      <c r="A27" s="6"/>
      <c r="B27" t="s">
        <v>5</v>
      </c>
      <c r="C27" t="s">
        <v>7</v>
      </c>
      <c r="D27">
        <v>20</v>
      </c>
    </row>
    <row r="28" spans="1:4" x14ac:dyDescent="0.35">
      <c r="A28" s="6"/>
      <c r="B28" t="s">
        <v>35</v>
      </c>
      <c r="C28" t="s">
        <v>15</v>
      </c>
      <c r="D28">
        <v>0.98</v>
      </c>
    </row>
    <row r="29" spans="1:4" x14ac:dyDescent="0.35">
      <c r="A29" s="6"/>
      <c r="B29" t="s">
        <v>14</v>
      </c>
      <c r="C29" t="s">
        <v>45</v>
      </c>
      <c r="D29">
        <v>2.1</v>
      </c>
    </row>
    <row r="30" spans="1:4" x14ac:dyDescent="0.35">
      <c r="A30" s="6"/>
      <c r="B30" t="s">
        <v>26</v>
      </c>
      <c r="C30" t="s">
        <v>28</v>
      </c>
      <c r="D30">
        <v>0.7</v>
      </c>
    </row>
    <row r="31" spans="1:4" x14ac:dyDescent="0.35">
      <c r="A31" s="6"/>
      <c r="B31" t="s">
        <v>27</v>
      </c>
      <c r="C31" t="s">
        <v>28</v>
      </c>
      <c r="D31">
        <v>0.7</v>
      </c>
    </row>
    <row r="32" spans="1:4" x14ac:dyDescent="0.35">
      <c r="A32" s="6" t="s">
        <v>40</v>
      </c>
      <c r="B32" t="s">
        <v>1</v>
      </c>
      <c r="C32" t="s">
        <v>13</v>
      </c>
      <c r="D32">
        <v>800</v>
      </c>
    </row>
    <row r="33" spans="1:4" x14ac:dyDescent="0.35">
      <c r="A33" s="6"/>
      <c r="B33" t="s">
        <v>23</v>
      </c>
      <c r="C33" t="s">
        <v>8</v>
      </c>
      <c r="D33">
        <v>1</v>
      </c>
    </row>
    <row r="34" spans="1:4" x14ac:dyDescent="0.35">
      <c r="A34" s="6"/>
      <c r="B34" t="s">
        <v>5</v>
      </c>
      <c r="C34" t="s">
        <v>7</v>
      </c>
      <c r="D34">
        <v>10</v>
      </c>
    </row>
    <row r="35" spans="1:4" x14ac:dyDescent="0.35">
      <c r="A35" s="6"/>
      <c r="B35" t="s">
        <v>35</v>
      </c>
      <c r="C35" t="s">
        <v>15</v>
      </c>
      <c r="D35">
        <v>0.91</v>
      </c>
    </row>
    <row r="36" spans="1:4" x14ac:dyDescent="0.35">
      <c r="A36" s="6"/>
      <c r="B36" t="s">
        <v>14</v>
      </c>
      <c r="C36" t="s">
        <v>45</v>
      </c>
      <c r="D36">
        <v>0.04</v>
      </c>
    </row>
    <row r="37" spans="1:4" x14ac:dyDescent="0.35">
      <c r="A37" s="6"/>
      <c r="B37" t="s">
        <v>26</v>
      </c>
      <c r="C37" t="s">
        <v>28</v>
      </c>
      <c r="D37">
        <v>3</v>
      </c>
    </row>
    <row r="38" spans="1:4" x14ac:dyDescent="0.35">
      <c r="A38" s="6"/>
      <c r="B38" t="s">
        <v>27</v>
      </c>
      <c r="C38" t="s">
        <v>28</v>
      </c>
      <c r="D38">
        <v>0.5</v>
      </c>
    </row>
  </sheetData>
  <mergeCells count="6">
    <mergeCell ref="A32:A38"/>
    <mergeCell ref="A2:A5"/>
    <mergeCell ref="A6:A14"/>
    <mergeCell ref="A15:A18"/>
    <mergeCell ref="A19:A24"/>
    <mergeCell ref="A25:A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002F4-9120-4930-9086-6F231A9B7994}">
  <dimension ref="A1:D10"/>
  <sheetViews>
    <sheetView workbookViewId="0"/>
  </sheetViews>
  <sheetFormatPr defaultRowHeight="14.5" x14ac:dyDescent="0.35"/>
  <cols>
    <col min="1" max="1" width="9.453125" bestFit="1" customWidth="1"/>
    <col min="2" max="2" width="15" bestFit="1" customWidth="1"/>
    <col min="3" max="3" width="8.36328125" bestFit="1" customWidth="1"/>
    <col min="4" max="4" width="6" bestFit="1" customWidth="1"/>
  </cols>
  <sheetData>
    <row r="1" spans="1:4" x14ac:dyDescent="0.35">
      <c r="A1" s="2" t="s">
        <v>18</v>
      </c>
      <c r="B1" s="2" t="s">
        <v>2</v>
      </c>
      <c r="C1" s="2" t="s">
        <v>3</v>
      </c>
      <c r="D1" s="2" t="s">
        <v>36</v>
      </c>
    </row>
    <row r="2" spans="1:4" x14ac:dyDescent="0.35">
      <c r="A2" s="7" t="s">
        <v>33</v>
      </c>
      <c r="B2" t="s">
        <v>29</v>
      </c>
      <c r="C2" t="s">
        <v>20</v>
      </c>
      <c r="D2">
        <v>311</v>
      </c>
    </row>
    <row r="3" spans="1:4" x14ac:dyDescent="0.35">
      <c r="A3" s="8"/>
      <c r="B3" t="s">
        <v>30</v>
      </c>
      <c r="C3" t="s">
        <v>20</v>
      </c>
      <c r="D3">
        <v>234</v>
      </c>
    </row>
    <row r="4" spans="1:4" x14ac:dyDescent="0.35">
      <c r="A4" s="8"/>
      <c r="B4" t="s">
        <v>19</v>
      </c>
      <c r="C4" t="s">
        <v>20</v>
      </c>
      <c r="D4">
        <v>50</v>
      </c>
    </row>
    <row r="5" spans="1:4" x14ac:dyDescent="0.35">
      <c r="A5" s="8"/>
      <c r="B5" t="s">
        <v>16</v>
      </c>
      <c r="C5" t="s">
        <v>21</v>
      </c>
      <c r="D5">
        <v>356</v>
      </c>
    </row>
    <row r="6" spans="1:4" x14ac:dyDescent="0.35">
      <c r="A6" s="8" t="s">
        <v>17</v>
      </c>
      <c r="B6" t="s">
        <v>29</v>
      </c>
      <c r="C6" t="s">
        <v>20</v>
      </c>
      <c r="D6">
        <v>98</v>
      </c>
    </row>
    <row r="7" spans="1:4" x14ac:dyDescent="0.35">
      <c r="A7" s="8"/>
      <c r="B7" t="s">
        <v>30</v>
      </c>
      <c r="C7" t="s">
        <v>20</v>
      </c>
      <c r="D7">
        <v>73</v>
      </c>
    </row>
    <row r="8" spans="1:4" x14ac:dyDescent="0.35">
      <c r="A8" s="8"/>
      <c r="B8" t="s">
        <v>16</v>
      </c>
      <c r="C8" t="s">
        <v>21</v>
      </c>
      <c r="D8">
        <v>197</v>
      </c>
    </row>
    <row r="9" spans="1:4" x14ac:dyDescent="0.35">
      <c r="A9" s="8" t="s">
        <v>41</v>
      </c>
      <c r="B9" t="s">
        <v>42</v>
      </c>
      <c r="C9" t="s">
        <v>20</v>
      </c>
      <c r="D9">
        <v>140</v>
      </c>
    </row>
    <row r="10" spans="1:4" x14ac:dyDescent="0.35">
      <c r="A10" s="8"/>
      <c r="B10" t="s">
        <v>16</v>
      </c>
      <c r="C10" t="s">
        <v>21</v>
      </c>
      <c r="D10">
        <v>0</v>
      </c>
    </row>
  </sheetData>
  <mergeCells count="3">
    <mergeCell ref="A2:A5"/>
    <mergeCell ref="A6:A8"/>
    <mergeCell ref="A9:A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CEDC9-1157-4EB2-B15D-D9140131EA69}">
  <dimension ref="A1:C3"/>
  <sheetViews>
    <sheetView workbookViewId="0">
      <selection activeCell="A3" sqref="A3"/>
    </sheetView>
  </sheetViews>
  <sheetFormatPr defaultRowHeight="14.5" x14ac:dyDescent="0.35"/>
  <cols>
    <col min="1" max="1" width="12.453125" bestFit="1" customWidth="1"/>
    <col min="2" max="2" width="4.54296875" bestFit="1" customWidth="1"/>
    <col min="3" max="6" width="5" bestFit="1" customWidth="1"/>
  </cols>
  <sheetData>
    <row r="1" spans="1:3" x14ac:dyDescent="0.35">
      <c r="A1" s="2" t="s">
        <v>31</v>
      </c>
      <c r="B1" s="2" t="s">
        <v>3</v>
      </c>
      <c r="C1" s="2" t="s">
        <v>36</v>
      </c>
    </row>
    <row r="2" spans="1:3" x14ac:dyDescent="0.35">
      <c r="A2" s="3" t="s">
        <v>32</v>
      </c>
      <c r="B2" t="s">
        <v>15</v>
      </c>
      <c r="C2">
        <v>0.05</v>
      </c>
    </row>
    <row r="3" spans="1:3" x14ac:dyDescent="0.35">
      <c r="A3" s="5" t="s">
        <v>52</v>
      </c>
      <c r="B3" t="s">
        <v>15</v>
      </c>
      <c r="C3">
        <v>0.12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Conversion&amp;StorageSystems</vt:lpstr>
      <vt:lpstr>Carriers</vt:lpstr>
      <vt:lpstr>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enrico dal cin</dc:creator>
  <cp:lastModifiedBy>Gabriele Volpato</cp:lastModifiedBy>
  <dcterms:created xsi:type="dcterms:W3CDTF">2015-06-05T18:17:20Z</dcterms:created>
  <dcterms:modified xsi:type="dcterms:W3CDTF">2025-07-20T09:59:16Z</dcterms:modified>
</cp:coreProperties>
</file>